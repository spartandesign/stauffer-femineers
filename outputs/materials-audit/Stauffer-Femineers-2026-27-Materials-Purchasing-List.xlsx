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b6befb3c7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eded Materials" sheetId="1" r:id="R377aebdc80a54d73"/>
    <x:sheet xmlns:r="http://schemas.openxmlformats.org/officeDocument/2006/relationships" name="Order Review" sheetId="2" r:id="R5a49a98906e34ba1"/>
    <x:sheet xmlns:r="http://schemas.openxmlformats.org/officeDocument/2006/relationships" name="Assumptions" sheetId="3" r:id="Rb5410cff6f9046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&quot;$&quot;#,##0.00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0218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F3DC4"/>
      </x:patternFill>
    </x:fill>
    <x:fill>
      <x:patternFill patternType="solid">
        <x:fgColor rgb="FFEFEAFF"/>
      </x:patternFill>
    </x:fill>
    <x:fill>
      <x:patternFill patternType="solid">
        <x:fgColor rgb="FF168B88"/>
      </x:patternFill>
    </x:fill>
    <x:fill>
      <x:patternFill patternType="solid">
        <x:fgColor rgb="FF18233A"/>
      </x:patternFill>
    </x:fill>
  </x:fills>
  <x:borders count="4">
    <x:border/>
    <x:border>
      <x:bottom style="thin">
        <x:color rgb="FFDFE3EC"/>
      </x:bottom>
    </x:border>
    <x:border>
      <x:top style="thin">
        <x:color rgb="FFDFE3EC"/>
      </x:top>
      <x:bottom style="thin">
        <x:color rgb="FFDFE3EC"/>
      </x:bottom>
    </x:border>
    <x:border>
      <x:top style="thin">
        <x:color rgb="FFDFE3EC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1" fontId="0" fillId="0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  <x:dxfs count="7">
    <x:dxf>
      <x:font>
        <x:b/>
        <x:color rgb="FF9F262E"/>
      </x:font>
      <x:fill>
        <x:patternFill patternType="solid">
          <x:bgColor rgb="FFFDE2E0"/>
        </x:patternFill>
      </x:fill>
    </x:dxf>
    <x:dxf>
      <x:font>
        <x:color rgb="FF7A4A00"/>
      </x:font>
      <x:fill>
        <x:patternFill patternType="solid">
          <x:bgColor rgb="FFFFF1CE"/>
        </x:patternFill>
      </x:fill>
    </x:dxf>
    <x:dxf>
      <x:font>
        <x:b/>
        <x:color rgb="FF9F262E"/>
      </x:font>
      <x:fill>
        <x:patternFill patternType="solid">
          <x:bgColor rgb="FFFDE2E0"/>
        </x:patternFill>
      </x:fill>
    </x:dxf>
    <x:dxf>
      <x:font>
        <x:color rgb="FF7A4A00"/>
      </x:font>
      <x:fill>
        <x:patternFill patternType="solid">
          <x:bgColor rgb="FFFFF1CE"/>
        </x:patternFill>
      </x:fill>
    </x:dxf>
    <x:dxf>
      <x:font>
        <x:color rgb="FF0D6765"/>
      </x:font>
      <x:fill>
        <x:patternFill patternType="solid">
          <x:bgColor rgb="FFEAF8F6"/>
        </x:patternFill>
      </x:fill>
    </x:dxf>
    <x:dxf>
      <x:font>
        <x:b/>
        <x:color rgb="FF9F262E"/>
      </x:font>
      <x:fill>
        <x:patternFill patternType="solid">
          <x:bgColor rgb="FFFDE2E0"/>
        </x:patternFill>
      </x:fill>
    </x:dxf>
    <x:dxf>
      <x:font>
        <x:color rgb="FF7A4A00"/>
      </x:font>
      <x:fill>
        <x:patternFill patternType="solid">
          <x:bgColor rgb="FFFFF1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830918b95f4bf1" /><Relationship Type="http://schemas.openxmlformats.org/officeDocument/2006/relationships/theme" Target="/xl/theme/theme1.xml" Id="Ref931603df9246d9" /><Relationship Type="http://schemas.openxmlformats.org/officeDocument/2006/relationships/sharedStrings" Target="/xl/sharedStrings.xml" Id="Rbe1648c37f0f4726" /><Relationship Type="http://schemas.openxmlformats.org/officeDocument/2006/relationships/worksheet" Target="/xl/worksheets/sheet1.xml" Id="R377aebdc80a54d73" /><Relationship Type="http://schemas.openxmlformats.org/officeDocument/2006/relationships/worksheet" Target="/xl/worksheets/sheet2.xml" Id="R5a49a98906e34ba1" /><Relationship Type="http://schemas.openxmlformats.org/officeDocument/2006/relationships/worksheet" Target="/xl/worksheets/sheet3.xml" Id="Rb5410cff6f9046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9" hidden="0" customWidth="1"/>
    <x:col min="3" max="3" width="38" hidden="0" customWidth="1"/>
    <x:col min="4" max="4" width="15" hidden="0" customWidth="1"/>
    <x:col min="5" max="5" width="18" hidden="0" customWidth="1"/>
    <x:col min="6" max="6" width="18" hidden="0" customWidth="1"/>
    <x:col min="7" max="7" width="14" hidden="0" customWidth="1"/>
    <x:col min="8" max="8" width="12" hidden="0" customWidth="1"/>
    <x:col min="9" max="9" width="22" hidden="0" customWidth="1"/>
    <x:col min="10" max="10" width="46" hidden="0" customWidth="1"/>
    <x:col min="11" max="11" width="18" hidden="0" customWidth="1"/>
    <x:col min="12" max="12" width="56" hidden="0" customWidth="1"/>
    <x:col min="14" max="14" width="22" hidden="0" customWidth="1"/>
    <x:col min="15" max="15" width="16" hidden="0" customWidth="1"/>
  </x:cols>
  <x:sheetData>
    <x:row r="1" ht="34" customHeight="1">
      <x:c r="A1" s="7" t="str">
        <x:v>Stauffer Femineers 2026-27 - Needed Materials Purchasing List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2" ht="30" customHeight="1">
      <x:c r="A2" s="10" t="str">
        <x:v>Planning basis: up to 30 individual wearable students and 12 robotics teams, with one spare Hummingbird kit.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12" t="str">
        <x:v>Planning summary</x:v>
      </x:c>
      <x:c r="B4" s="12" t="str">
        <x:v>Value</x:v>
      </x:c>
      <x:c r="C4" s="12" t="str">
        <x:v>Meaning</x:v>
      </x:c>
      <x:c r="D4" s="12" t="str">
        <x:v>Action</x:v>
      </x:c>
      <x:c r="N4" s="12" t="str">
        <x:v>Budget helper</x:v>
      </x:c>
      <x:c r="O4" s="12" t="str">
        <x:v>Value</x:v>
      </x:c>
    </x:row>
    <x:row r="5">
      <x:c r="A5" t="str">
        <x:v>Wearable students</x:v>
      </x:c>
      <x:c r="B5" t="n">
        <x:v>30</x:v>
      </x:c>
      <x:c r="C5" t="str">
        <x:v>Individual shirt + hat projects</x:v>
      </x:c>
      <x:c r="D5" t="str">
        <x:v>Confirm final pathway enrollment</x:v>
      </x:c>
      <x:c r="N5" t="str">
        <x:v>Estimated total</x:v>
      </x:c>
      <x:c r="O5" s="4" t="n">
        <x:f>SUMPRODUCT(G12:G46,K12:K46)</x:f>
        <x:v>0</x:v>
      </x:c>
    </x:row>
    <x:row r="6">
      <x:c r="A6" t="str">
        <x:v>Robotics teams planned</x:v>
      </x:c>
      <x:c r="B6" t="n">
        <x:v>12</x:v>
      </x:c>
      <x:c r="C6" t="str">
        <x:v>24 students in teams of two</x:v>
      </x:c>
      <x:c r="D6" t="str">
        <x:v>Keep enrollment even</x:v>
      </x:c>
      <x:c r="N6" t="str">
        <x:v>Critical rows</x:v>
      </x:c>
      <x:c r="O6" t="n">
        <x:f>COUNTIF(H12:H46,"Critical")</x:f>
        <x:v>11</x:v>
      </x:c>
    </x:row>
    <x:row r="7">
      <x:c r="A7" t="str">
        <x:v>Rows marked Buy</x:v>
      </x:c>
      <x:c r="B7" t="n">
        <x:f>COUNTIF(I12:I46,"Buy")+COUNTIF(I12:I46,"Buy if 22-24 students")</x:f>
        <x:v>17</x:v>
      </x:c>
      <x:c r="C7" t="str">
        <x:v>Purchase or place on active order list</x:v>
      </x:c>
      <x:c r="D7" t="str">
        <x:v>Review Critical items first</x:v>
      </x:c>
      <x:c r="N7" t="str">
        <x:v>High-priority rows</x:v>
      </x:c>
      <x:c r="O7" t="n">
        <x:f>COUNTIF(H12:H46,"High")</x:f>
        <x:v>22</x:v>
      </x:c>
    </x:row>
    <x:row r="8">
      <x:c r="A8" t="str">
        <x:v>Rows needing inventory check</x:v>
      </x:c>
      <x:c r="B8" t="n">
        <x:f>COUNTIF(I12:I46,"Confirm inventory")</x:f>
        <x:v>17</x:v>
      </x:c>
      <x:c r="C8" t="str">
        <x:v>Count before purchasing</x:v>
      </x:c>
      <x:c r="D8" t="str">
        <x:v>Enter counted quantity in column F</x:v>
      </x:c>
    </x:row>
    <x:row r="11" ht="46" customHeight="1">
      <x:c r="A11" s="15" t="str">
        <x:v>Category</x:v>
      </x:c>
      <x:c r="B11" s="15" t="str">
        <x:v>Material</x:v>
      </x:c>
      <x:c r="C11" s="15" t="str">
        <x:v>Specification</x:v>
      </x:c>
      <x:c r="D11" s="15" t="str">
        <x:v>Recommended Qty</x:v>
      </x:c>
      <x:c r="E11" s="15" t="str">
        <x:v>Unit</x:v>
      </x:c>
      <x:c r="F11" s="15" t="str">
        <x:v>Existing / Ordered Qty</x:v>
      </x:c>
      <x:c r="G11" s="15" t="str">
        <x:v>Qty to Buy</x:v>
      </x:c>
      <x:c r="H11" s="15" t="str">
        <x:v>Priority</x:v>
      </x:c>
      <x:c r="I11" s="15" t="str">
        <x:v>Status</x:v>
      </x:c>
      <x:c r="J11" s="15" t="str">
        <x:v>Use / Rationale</x:v>
      </x:c>
      <x:c r="K11" s="15" t="str">
        <x:v>Estimated Unit Cost</x:v>
      </x:c>
      <x:c r="L11" s="15" t="str">
        <x:v>Amazon / Supplier Link</x:v>
      </x:c>
    </x:row>
    <x:row r="12" ht="54" customHeight="1">
      <x:c r="A12" s="16" t="str">
        <x:v>Wearables - shirt</x:v>
      </x:c>
      <x:c r="B12" s="16" t="str">
        <x:v>Sewable LEDs</x:v>
      </x:c>
      <x:c r="C12" s="16" t="str">
        <x:v>LilyPad-style, clearly marked +/-, mixed or white</x:v>
      </x:c>
      <x:c r="D12" s="17" t="n">
        <x:v>300</x:v>
      </x:c>
      <x:c r="E12" s="17" t="str">
        <x:v>LEDs</x:v>
      </x:c>
      <x:c r="F12" s="17" t="n">
        <x:v>0</x:v>
      </x:c>
      <x:c r="G12" s="17" t="n">
        <x:f>IF(I12="Confirm inventory","",MAX(D12-F12,0))</x:f>
        <x:v>300</x:v>
      </x:c>
      <x:c r="H12" s="16" t="str">
        <x:v>Critical</x:v>
      </x:c>
      <x:c r="I12" s="16" t="str">
        <x:v>Buy</x:v>
      </x:c>
      <x:c r="J12" s="16" t="str">
        <x:v>4-8 per shirt for 30 students, plus testing and failure spares</x:v>
      </x:c>
      <x:c r="K12" s="18"/>
      <x:c r="L12" s="16" t="str">
        <x:v>https://www.amazon.com/s?k=sewable+LEDs+LilyPad+100+pack</x:v>
      </x:c>
    </x:row>
    <x:row r="13" ht="54" customHeight="1">
      <x:c r="A13" s="19" t="str">
        <x:v>Wearables - sewing</x:v>
      </x:c>
      <x:c r="B13" s="19" t="str">
        <x:v>Embroidery needles</x:v>
      </x:c>
      <x:c r="C13" s="19" t="str">
        <x:v>Large-eye needles compatible with conductive thread</x:v>
      </x:c>
      <x:c r="D13" s="20" t="n">
        <x:v>60</x:v>
      </x:c>
      <x:c r="E13" s="20" t="str">
        <x:v>needles</x:v>
      </x:c>
      <x:c r="F13" s="20" t="n">
        <x:v>0</x:v>
      </x:c>
      <x:c r="G13" s="20" t="n">
        <x:f>IF(I13="Confirm inventory","",MAX(D13-F13,0))</x:f>
        <x:v>60</x:v>
      </x:c>
      <x:c r="H13" s="19" t="str">
        <x:v>Critical</x:v>
      </x:c>
      <x:c r="I13" s="19" t="str">
        <x:v>Buy</x:v>
      </x:c>
      <x:c r="J13" s="19" t="str">
        <x:v>Two per wearable student allows for breakage/loss</x:v>
      </x:c>
      <x:c r="K13" s="21"/>
      <x:c r="L13" s="19" t="str">
        <x:v>https://www.amazon.com/s?k=large+eye+embroidery+needles+conductive+thread</x:v>
      </x:c>
    </x:row>
    <x:row r="14" ht="54" customHeight="1">
      <x:c r="A14" s="19" t="str">
        <x:v>Wearables - sewing</x:v>
      </x:c>
      <x:c r="B14" s="19" t="str">
        <x:v>Needle threaders</x:v>
      </x:c>
      <x:c r="C14" s="19" t="str">
        <x:v>Sturdy wire or hook-style threaders</x:v>
      </x:c>
      <x:c r="D14" s="20" t="n">
        <x:v>30</x:v>
      </x:c>
      <x:c r="E14" s="20" t="str">
        <x:v>threaders</x:v>
      </x:c>
      <x:c r="F14" s="20" t="n">
        <x:v>0</x:v>
      </x:c>
      <x:c r="G14" s="20" t="n">
        <x:f>IF(I14="Confirm inventory","",MAX(D14-F14,0))</x:f>
        <x:v>30</x:v>
      </x:c>
      <x:c r="H14" s="19" t="str">
        <x:v>High</x:v>
      </x:c>
      <x:c r="I14" s="19" t="str">
        <x:v>Buy</x:v>
      </x:c>
      <x:c r="J14" s="19" t="str">
        <x:v>One per wearable student</x:v>
      </x:c>
      <x:c r="K14" s="21"/>
      <x:c r="L14" s="19" t="str">
        <x:v>https://www.amazon.com/s?k=needle+threaders+embroidery+sturdy+bulk</x:v>
      </x:c>
    </x:row>
    <x:row r="15" ht="54" customHeight="1">
      <x:c r="A15" s="19" t="str">
        <x:v>Wearables - sewing</x:v>
      </x:c>
      <x:c r="B15" s="19" t="str">
        <x:v>Thimbles</x:v>
      </x:c>
      <x:c r="C15" s="19" t="str">
        <x:v>Adjustable or mixed-size sewing thimbles</x:v>
      </x:c>
      <x:c r="D15" s="20" t="n">
        <x:v>30</x:v>
      </x:c>
      <x:c r="E15" s="20" t="str">
        <x:v>thimbles</x:v>
      </x:c>
      <x:c r="F15" s="20" t="n">
        <x:v>0</x:v>
      </x:c>
      <x:c r="G15" s="20" t="n">
        <x:f>IF(I15="Confirm inventory","",MAX(D15-F15,0))</x:f>
        <x:v>30</x:v>
      </x:c>
      <x:c r="H15" s="19" t="str">
        <x:v>Medium</x:v>
      </x:c>
      <x:c r="I15" s="19" t="str">
        <x:v>Buy</x:v>
      </x:c>
      <x:c r="J15" s="19" t="str">
        <x:v>Useful for beginner hand sewing</x:v>
      </x:c>
      <x:c r="K15" s="21"/>
      <x:c r="L15" s="19" t="str">
        <x:v>https://www.amazon.com/s?k=adjustable+sewing+thimbles+bulk</x:v>
      </x:c>
    </x:row>
    <x:row r="16" ht="54" customHeight="1">
      <x:c r="A16" s="19" t="str">
        <x:v>Wearables - sewing</x:v>
      </x:c>
      <x:c r="B16" s="19" t="str">
        <x:v>Ordinary sewing thread</x:v>
      </x:c>
      <x:c r="C16" s="19" t="str">
        <x:v>White plus colors; polyester all-purpose thread</x:v>
      </x:c>
      <x:c r="D16" s="20" t="n">
        <x:v>12</x:v>
      </x:c>
      <x:c r="E16" s="20" t="str">
        <x:v>spools</x:v>
      </x:c>
      <x:c r="F16" s="20" t="n">
        <x:v>0</x:v>
      </x:c>
      <x:c r="G16" s="20" t="n">
        <x:f>IF(I16="Confirm inventory","",MAX(D16-F16,0))</x:f>
        <x:v>12</x:v>
      </x:c>
      <x:c r="H16" s="19" t="str">
        <x:v>High</x:v>
      </x:c>
      <x:c r="I16" s="19" t="str">
        <x:v>Buy</x:v>
      </x:c>
      <x:c r="J16" s="19" t="str">
        <x:v>Securing components, pockets, ribbon channels, and decoration</x:v>
      </x:c>
      <x:c r="K16" s="21"/>
      <x:c r="L16" s="19" t="str">
        <x:v>https://www.amazon.com/s?k=polyester+sewing+thread+assorted+colors+spools</x:v>
      </x:c>
    </x:row>
    <x:row r="17" ht="54" customHeight="1">
      <x:c r="A17" s="19" t="str">
        <x:v>Wearables - sewing</x:v>
      </x:c>
      <x:c r="B17" s="19" t="str">
        <x:v>Thread snips and seam rippers</x:v>
      </x:c>
      <x:c r="C17" s="19" t="str">
        <x:v>Student-safe thread snips and seam rippers</x:v>
      </x:c>
      <x:c r="D17" s="20" t="n">
        <x:v>15</x:v>
      </x:c>
      <x:c r="E17" s="20" t="str">
        <x:v>sets</x:v>
      </x:c>
      <x:c r="F17" s="20" t="n">
        <x:v>0</x:v>
      </x:c>
      <x:c r="G17" s="20" t="str">
        <x:f>IF(I17="Confirm inventory","",MAX(D17-F17,0))</x:f>
      </x:c>
      <x:c r="H17" s="19" t="str">
        <x:v>High</x:v>
      </x:c>
      <x:c r="I17" s="19" t="str">
        <x:v>Confirm inventory</x:v>
      </x:c>
      <x:c r="J17" s="19" t="str">
        <x:v>One shared set per two students</x:v>
      </x:c>
      <x:c r="K17" s="21"/>
      <x:c r="L17" s="19" t="str">
        <x:v>https://www.amazon.com/s?k=thread+snips+seam+ripper+bulk</x:v>
      </x:c>
    </x:row>
    <x:row r="18" ht="54" customHeight="1">
      <x:c r="A18" s="19" t="str">
        <x:v>Wearables - hats</x:v>
      </x:c>
      <x:c r="B18" s="19" t="str">
        <x:v>White bucket hats</x:v>
      </x:c>
      <x:c r="C18" s="19" t="str">
        <x:v>Plain white cotton; verify fit and pack count</x:v>
      </x:c>
      <x:c r="D18" s="20" t="n">
        <x:v>33</x:v>
      </x:c>
      <x:c r="E18" s="20" t="str">
        <x:v>hats</x:v>
      </x:c>
      <x:c r="F18" s="20" t="n">
        <x:v>0</x:v>
      </x:c>
      <x:c r="G18" s="20" t="str">
        <x:f>IF(I18="Confirm inventory","",MAX(D18-F18,0))</x:f>
      </x:c>
      <x:c r="H18" s="19" t="str">
        <x:v>Critical</x:v>
      </x:c>
      <x:c r="I18" s="19" t="str">
        <x:v>Confirm inventory</x:v>
      </x:c>
      <x:c r="J18" s="19" t="str">
        <x:v>30 projects plus approximately 10% spares; current list says 3 packages, not actual hats</x:v>
      </x:c>
      <x:c r="K18" s="21"/>
      <x:c r="L18" s="19" t="str">
        <x:v>https://www.amazon.com/s?k=white+cotton+bucket+hats+bulk+women+12+pack</x:v>
      </x:c>
    </x:row>
    <x:row r="19" ht="54" customHeight="1">
      <x:c r="A19" s="19" t="str">
        <x:v>Wearables - hats</x:v>
      </x:c>
      <x:c r="B19" s="19" t="str">
        <x:v>3-pin removable connectors</x:v>
      </x:c>
      <x:c r="C19" s="19" t="str">
        <x:v>JST-SM or equivalent matched male/female pigtails</x:v>
      </x:c>
      <x:c r="D19" s="20" t="n">
        <x:v>36</x:v>
      </x:c>
      <x:c r="E19" s="20" t="str">
        <x:v>pairs</x:v>
      </x:c>
      <x:c r="F19" s="20" t="n">
        <x:v>0</x:v>
      </x:c>
      <x:c r="G19" s="20" t="n">
        <x:f>IF(I19="Confirm inventory","",MAX(D19-F19,0))</x:f>
        <x:v>36</x:v>
      </x:c>
      <x:c r="H19" s="19" t="str">
        <x:v>Critical</x:v>
      </x:c>
      <x:c r="I19" s="19" t="str">
        <x:v>Buy</x:v>
      </x:c>
      <x:c r="J19" s="19" t="str">
        <x:v>One removable NeoPixel connection per hat plus spares</x:v>
      </x:c>
      <x:c r="K19" s="21"/>
      <x:c r="L19" s="19" t="str">
        <x:v>https://www.amazon.com/s?k=3+pin+JST+SM+connector+pigtail+pairs</x:v>
      </x:c>
    </x:row>
    <x:row r="20" ht="54" customHeight="1">
      <x:c r="A20" s="19" t="str">
        <x:v>Wearables - hats</x:v>
      </x:c>
      <x:c r="B20" s="19" t="str">
        <x:v>Ribbon for removable LED channels</x:v>
      </x:c>
      <x:c r="C20" s="19" t="str">
        <x:v>White grosgrain ribbon, approximately 3/4-1 inch wide</x:v>
      </x:c>
      <x:c r="D20" s="20" t="n">
        <x:v>3</x:v>
      </x:c>
      <x:c r="E20" s="20" t="str">
        <x:v>rolls</x:v>
      </x:c>
      <x:c r="F20" s="20" t="n">
        <x:v>0</x:v>
      </x:c>
      <x:c r="G20" s="20" t="n">
        <x:f>IF(I20="Confirm inventory","",MAX(D20-F20,0))</x:f>
        <x:v>3</x:v>
      </x:c>
      <x:c r="H20" s="19" t="str">
        <x:v>High</x:v>
      </x:c>
      <x:c r="I20" s="19" t="str">
        <x:v>Buy</x:v>
      </x:c>
      <x:c r="J20" s="19" t="str">
        <x:v>Removable channel or loop mounting around hats</x:v>
      </x:c>
      <x:c r="K20" s="21"/>
      <x:c r="L20" s="19" t="str">
        <x:v>https://www.amazon.com/s?k=white+grosgrain+ribbon+1+inch+50+yards</x:v>
      </x:c>
    </x:row>
    <x:row r="21" ht="54" customHeight="1">
      <x:c r="A21" s="19" t="str">
        <x:v>Wearables - hats</x:v>
      </x:c>
      <x:c r="B21" s="19" t="str">
        <x:v>White hook-and-loop tape</x:v>
      </x:c>
      <x:c r="C21" s="19" t="str">
        <x:v>Sew-on or low-profile white hook and loop</x:v>
      </x:c>
      <x:c r="D21" s="20" t="n">
        <x:v>2</x:v>
      </x:c>
      <x:c r="E21" s="20" t="str">
        <x:v>rolls</x:v>
      </x:c>
      <x:c r="F21" s="20" t="n">
        <x:v>0</x:v>
      </x:c>
      <x:c r="G21" s="20" t="n">
        <x:f>IF(I21="Confirm inventory","",MAX(D21-F21,0))</x:f>
        <x:v>2</x:v>
      </x:c>
      <x:c r="H21" s="19" t="str">
        <x:v>Medium</x:v>
      </x:c>
      <x:c r="I21" s="19" t="str">
        <x:v>Buy</x:v>
      </x:c>
      <x:c r="J21" s="19" t="str">
        <x:v>Black tape is ordered but may be visible on white hats</x:v>
      </x:c>
      <x:c r="K21" s="21"/>
      <x:c r="L21" s="19" t="str">
        <x:v>https://www.amazon.com/s?k=white+sew+on+hook+and+loop+tape+roll</x:v>
      </x:c>
    </x:row>
    <x:row r="22" ht="54" customHeight="1">
      <x:c r="A22" s="19" t="str">
        <x:v>Wearables - power</x:v>
      </x:c>
      <x:c r="B22" s="19" t="str">
        <x:v>AAA alkaline batteries</x:v>
      </x:c>
      <x:c r="C22" s="19" t="str">
        <x:v>Reliable name-brand or district-approved bulk alkaline</x:v>
      </x:c>
      <x:c r="D22" s="20" t="n">
        <x:v>300</x:v>
      </x:c>
      <x:c r="E22" s="20" t="str">
        <x:v>batteries</x:v>
      </x:c>
      <x:c r="F22" s="20" t="n">
        <x:v>100</x:v>
      </x:c>
      <x:c r="G22" s="20" t="n">
        <x:f>IF(I22="Confirm inventory","",MAX(D22-F22,0))</x:f>
        <x:v>200</x:v>
      </x:c>
      <x:c r="H22" s="19" t="str">
        <x:v>Critical</x:v>
      </x:c>
      <x:c r="I22" s="19" t="str">
        <x:v>Buy</x:v>
      </x:c>
      <x:c r="J22" s="19" t="str">
        <x:v>Three per hat; supports testing and fresh gala sets</x:v>
      </x:c>
      <x:c r="K22" s="21"/>
      <x:c r="L22" s="19" t="str">
        <x:v>https://www.amazon.com/s?k=AAA+alkaline+batteries+300+count</x:v>
      </x:c>
    </x:row>
    <x:row r="23" ht="54" customHeight="1">
      <x:c r="A23" s="19" t="str">
        <x:v>Wearables - power</x:v>
      </x:c>
      <x:c r="B23" s="19" t="str">
        <x:v>AA alkaline batteries</x:v>
      </x:c>
      <x:c r="C23" s="19" t="str">
        <x:v>Reliable name-brand or district-approved bulk alkaline</x:v>
      </x:c>
      <x:c r="D23" s="20" t="n">
        <x:v>200</x:v>
      </x:c>
      <x:c r="E23" s="20" t="str">
        <x:v>batteries</x:v>
      </x:c>
      <x:c r="F23" s="20" t="n">
        <x:v>100</x:v>
      </x:c>
      <x:c r="G23" s="20" t="n">
        <x:f>IF(I23="Confirm inventory","",MAX(D23-F23,0))</x:f>
        <x:v>100</x:v>
      </x:c>
      <x:c r="H23" s="19" t="str">
        <x:v>High</x:v>
      </x:c>
      <x:c r="I23" s="19" t="str">
        <x:v>Buy</x:v>
      </x:c>
      <x:c r="J23" s="19" t="str">
        <x:v>Two per micro:bit holder; supports testing and replacements</x:v>
      </x:c>
      <x:c r="K23" s="21"/>
      <x:c r="L23" s="19" t="str">
        <x:v>https://www.amazon.com/s?k=AA+alkaline+batteries+200+count</x:v>
      </x:c>
    </x:row>
    <x:row r="24" ht="54" customHeight="1">
      <x:c r="A24" s="19" t="str">
        <x:v>Wearables - power</x:v>
      </x:c>
      <x:c r="B24" s="19" t="str">
        <x:v>CR2032 coin-cell batteries</x:v>
      </x:c>
      <x:c r="C24" s="19" t="str">
        <x:v>Name-brand lithium CR2032</x:v>
      </x:c>
      <x:c r="D24" s="20" t="n">
        <x:v>90</x:v>
      </x:c>
      <x:c r="E24" s="20" t="str">
        <x:v>batteries</x:v>
      </x:c>
      <x:c r="F24" s="20" t="n">
        <x:v>100</x:v>
      </x:c>
      <x:c r="G24" s="20" t="n">
        <x:f>IF(I24="Confirm inventory","",MAX(D24-F24,0))</x:f>
        <x:v>0</x:v>
      </x:c>
      <x:c r="H24" s="19" t="str">
        <x:v>High</x:v>
      </x:c>
      <x:c r="I24" s="19" t="str">
        <x:v>Verify order</x:v>
      </x:c>
      <x:c r="J24" s="19" t="str">
        <x:v>One per shirt with replacements for testing and showcases</x:v>
      </x:c>
      <x:c r="K24" s="21"/>
      <x:c r="L24" s="19" t="str">
        <x:v>https://www.amazon.com/s?k=CR2032+lithium+coin+cell+batteries+bulk</x:v>
      </x:c>
    </x:row>
    <x:row r="25" ht="54" customHeight="1">
      <x:c r="A25" s="19" t="str">
        <x:v>Wearables - harness prep</x:v>
      </x:c>
      <x:c r="B25" s="19" t="str">
        <x:v>Soldering supplies</x:v>
      </x:c>
      <x:c r="C25" s="19" t="str">
        <x:v>Lead-free solder, irons, stands, tip cleaner, helping hands</x:v>
      </x:c>
      <x:c r="D25" s="20" t="n">
        <x:v>4</x:v>
      </x:c>
      <x:c r="E25" s="20" t="str">
        <x:v>stations</x:v>
      </x:c>
      <x:c r="F25" s="20" t="n">
        <x:v>0</x:v>
      </x:c>
      <x:c r="G25" s="20" t="str">
        <x:f>IF(I25="Confirm inventory","",MAX(D25-F25,0))</x:f>
      </x:c>
      <x:c r="H25" s="19" t="str">
        <x:v>Critical</x:v>
      </x:c>
      <x:c r="I25" s="19" t="str">
        <x:v>Confirm inventory</x:v>
      </x:c>
      <x:c r="J25" s="19" t="str">
        <x:v>Mentor preparation only; not a student harness-fabrication task</x:v>
      </x:c>
      <x:c r="K25" s="21"/>
      <x:c r="L25" s="19" t="str">
        <x:v>https://www.amazon.com/s?k=soldering+station+kit+helping+hands+lead+free+solder</x:v>
      </x:c>
    </x:row>
    <x:row r="26" ht="54" customHeight="1">
      <x:c r="A26" s="19" t="str">
        <x:v>Wearables - harness prep</x:v>
      </x:c>
      <x:c r="B26" s="19" t="str">
        <x:v>Wire cutters and strippers</x:v>
      </x:c>
      <x:c r="C26" s="19" t="str">
        <x:v>Suitable for 22 AWG silicone wire</x:v>
      </x:c>
      <x:c r="D26" s="20" t="n">
        <x:v>6</x:v>
      </x:c>
      <x:c r="E26" s="20" t="str">
        <x:v>tools</x:v>
      </x:c>
      <x:c r="F26" s="20" t="n">
        <x:v>0</x:v>
      </x:c>
      <x:c r="G26" s="20" t="str">
        <x:f>IF(I26="Confirm inventory","",MAX(D26-F26,0))</x:f>
      </x:c>
      <x:c r="H26" s="19" t="str">
        <x:v>High</x:v>
      </x:c>
      <x:c r="I26" s="19" t="str">
        <x:v>Confirm inventory</x:v>
      </x:c>
      <x:c r="J26" s="19" t="str">
        <x:v>Mentor harness preparation and repairs</x:v>
      </x:c>
      <x:c r="K26" s="21"/>
      <x:c r="L26" s="19" t="str">
        <x:v>https://www.amazon.com/s?k=22+gauge+wire+stripper+cutter</x:v>
      </x:c>
    </x:row>
    <x:row r="27" ht="54" customHeight="1">
      <x:c r="A27" s="19" t="str">
        <x:v>Wearables - harness prep</x:v>
      </x:c>
      <x:c r="B27" s="19" t="str">
        <x:v>Heat gun</x:v>
      </x:c>
      <x:c r="C27" s="19" t="str">
        <x:v>Small heat gun suitable for heat-shrink tubing</x:v>
      </x:c>
      <x:c r="D27" s="20" t="n">
        <x:v>2</x:v>
      </x:c>
      <x:c r="E27" s="20" t="str">
        <x:v>tools</x:v>
      </x:c>
      <x:c r="F27" s="20" t="n">
        <x:v>0</x:v>
      </x:c>
      <x:c r="G27" s="20" t="str">
        <x:f>IF(I27="Confirm inventory","",MAX(D27-F27,0))</x:f>
      </x:c>
      <x:c r="H27" s="19" t="str">
        <x:v>High</x:v>
      </x:c>
      <x:c r="I27" s="19" t="str">
        <x:v>Confirm inventory</x:v>
      </x:c>
      <x:c r="J27" s="19" t="str">
        <x:v>Mentor use for insulated harnesses</x:v>
      </x:c>
      <x:c r="K27" s="21"/>
      <x:c r="L27" s="19" t="str">
        <x:v>https://www.amazon.com/s?k=mini+heat+gun+heat+shrink+tubing</x:v>
      </x:c>
    </x:row>
    <x:row r="28" ht="54" customHeight="1">
      <x:c r="A28" s="19" t="str">
        <x:v>Wearables - painting</x:v>
      </x:c>
      <x:c r="B28" s="19" t="str">
        <x:v>Opaque fabric paint</x:v>
      </x:c>
      <x:c r="C28" s="19" t="str">
        <x:v>Flexible, washable paint suitable for dark denim</x:v>
      </x:c>
      <x:c r="D28" s="20" t="n">
        <x:v>8</x:v>
      </x:c>
      <x:c r="E28" s="20" t="str">
        <x:v>multi-color sets</x:v>
      </x:c>
      <x:c r="F28" s="20" t="n">
        <x:v>0</x:v>
      </x:c>
      <x:c r="G28" s="20" t="str">
        <x:f>IF(I28="Confirm inventory","",MAX(D28-F28,0))</x:f>
      </x:c>
      <x:c r="H28" s="19" t="str">
        <x:v>Critical</x:v>
      </x:c>
      <x:c r="I28" s="19" t="str">
        <x:v>Confirm inventory</x:v>
      </x:c>
      <x:c r="J28" s="19" t="str">
        <x:v>Tie-dye spray and puff paint alone may not cover detailed denim artwork</x:v>
      </x:c>
      <x:c r="K28" s="21"/>
      <x:c r="L28" s="19" t="str">
        <x:v>https://www.amazon.com/s?k=opaque+fabric+paint+for+denim+washable+set</x:v>
      </x:c>
    </x:row>
    <x:row r="29" ht="54" customHeight="1">
      <x:c r="A29" s="19" t="str">
        <x:v>Wearables - painting</x:v>
      </x:c>
      <x:c r="B29" s="19" t="str">
        <x:v>Fabric paint markers</x:v>
      </x:c>
      <x:c r="C29" s="19" t="str">
        <x:v>Permanent textile markers with assorted tip sizes</x:v>
      </x:c>
      <x:c r="D29" s="20" t="n">
        <x:v>10</x:v>
      </x:c>
      <x:c r="E29" s="20" t="str">
        <x:v>sets</x:v>
      </x:c>
      <x:c r="F29" s="20" t="n">
        <x:v>0</x:v>
      </x:c>
      <x:c r="G29" s="20" t="str">
        <x:f>IF(I29="Confirm inventory","",MAX(D29-F29,0))</x:f>
      </x:c>
      <x:c r="H29" s="19" t="str">
        <x:v>High</x:v>
      </x:c>
      <x:c r="I29" s="19" t="str">
        <x:v>Confirm inventory</x:v>
      </x:c>
      <x:c r="J29" s="19" t="str">
        <x:v>Detailed lines, labels, and controlled designs</x:v>
      </x:c>
      <x:c r="K29" s="21"/>
      <x:c r="L29" s="19" t="str">
        <x:v>https://www.amazon.com/s?k=fabric+paint+markers+permanent+clothes+bulk+set</x:v>
      </x:c>
    </x:row>
    <x:row r="30" ht="54" customHeight="1">
      <x:c r="A30" s="19" t="str">
        <x:v>Wearables - painting</x:v>
      </x:c>
      <x:c r="B30" s="19" t="str">
        <x:v>Paint brushes and palettes</x:v>
      </x:c>
      <x:c r="C30" s="19" t="str">
        <x:v>Mixed brushes plus reusable or disposable palettes</x:v>
      </x:c>
      <x:c r="D30" s="20" t="n">
        <x:v>30</x:v>
      </x:c>
      <x:c r="E30" s="20" t="str">
        <x:v>student sets</x:v>
      </x:c>
      <x:c r="F30" s="20" t="n">
        <x:v>0</x:v>
      </x:c>
      <x:c r="G30" s="20" t="str">
        <x:f>IF(I30="Confirm inventory","",MAX(D30-F30,0))</x:f>
      </x:c>
      <x:c r="H30" s="19" t="str">
        <x:v>High</x:v>
      </x:c>
      <x:c r="I30" s="19" t="str">
        <x:v>Confirm inventory</x:v>
      </x:c>
      <x:c r="J30" s="19" t="str">
        <x:v>One working set per wearable student</x:v>
      </x:c>
      <x:c r="K30" s="21"/>
      <x:c r="L30" s="19" t="str">
        <x:v>https://www.amazon.com/s?k=paint+brush+palette+set+bulk+students</x:v>
      </x:c>
    </x:row>
    <x:row r="31" ht="54" customHeight="1">
      <x:c r="A31" s="19" t="str">
        <x:v>Wearables - painting</x:v>
      </x:c>
      <x:c r="B31" s="19" t="str">
        <x:v>Table covers and aprons</x:v>
      </x:c>
      <x:c r="C31" s="19" t="str">
        <x:v>Disposable/reusable table covers and protective aprons</x:v>
      </x:c>
      <x:c r="D31" s="20" t="n">
        <x:v>30</x:v>
      </x:c>
      <x:c r="E31" s="20" t="str">
        <x:v>aprons plus covers</x:v>
      </x:c>
      <x:c r="F31" s="20" t="n">
        <x:v>0</x:v>
      </x:c>
      <x:c r="G31" s="20" t="str">
        <x:f>IF(I31="Confirm inventory","",MAX(D31-F31,0))</x:f>
      </x:c>
      <x:c r="H31" s="19" t="str">
        <x:v>High</x:v>
      </x:c>
      <x:c r="I31" s="19" t="str">
        <x:v>Confirm inventory</x:v>
      </x:c>
      <x:c r="J31" s="19" t="str">
        <x:v>Protects clothing and work surfaces</x:v>
      </x:c>
      <x:c r="K31" s="21"/>
      <x:c r="L31" s="19" t="str">
        <x:v>https://www.amazon.com/s?k=kids+painting+aprons+bulk+disposable+table+covers</x:v>
      </x:c>
    </x:row>
    <x:row r="32" ht="54" customHeight="1">
      <x:c r="A32" s="19" t="str">
        <x:v>Robotics</x:v>
      </x:c>
      <x:c r="B32" s="19" t="str">
        <x:v>Additional Hummingbird kits</x:v>
      </x:c>
      <x:c r="C32" s="19" t="str">
        <x:v>Match existing Hummingbird Bit Premium kits</x:v>
      </x:c>
      <x:c r="D32" s="20" t="n">
        <x:v>13</x:v>
      </x:c>
      <x:c r="E32" s="20" t="str">
        <x:v>kits total</x:v>
      </x:c>
      <x:c r="F32" s="20" t="n">
        <x:v>10</x:v>
      </x:c>
      <x:c r="G32" s="20" t="n">
        <x:f>IF(I32="Confirm inventory","",MAX(D32-F32,0))</x:f>
        <x:v>3</x:v>
      </x:c>
      <x:c r="H32" s="19" t="str">
        <x:v>Critical</x:v>
      </x:c>
      <x:c r="I32" s="19" t="str">
        <x:v>Buy if 22-24 students</x:v>
      </x:c>
      <x:c r="J32" s="19" t="str">
        <x:v>12 teams plus one diagnostic spare; 10 existing kits support only 20 students</x:v>
      </x:c>
      <x:c r="K32" s="21"/>
      <x:c r="L32" s="19" t="str">
        <x:v>https://store.birdbraintechnologies.com/collections/hummingbird-bit/products/hummingbird-bit-premium-kit</x:v>
      </x:c>
    </x:row>
    <x:row r="33" ht="54" customHeight="1">
      <x:c r="A33" s="19" t="str">
        <x:v>Robotics - structure</x:v>
      </x:c>
      <x:c r="B33" s="19" t="str">
        <x:v>Prototyping structure assortment</x:v>
      </x:c>
      <x:c r="C33" s="19" t="str">
        <x:v>Cardboard, foam board, craft sticks, tubes, cups, and lightweight sheet materials</x:v>
      </x:c>
      <x:c r="D33" s="20" t="n">
        <x:v>13</x:v>
      </x:c>
      <x:c r="E33" s="20" t="str">
        <x:v>team kits</x:v>
      </x:c>
      <x:c r="F33" s="20" t="n">
        <x:v>0</x:v>
      </x:c>
      <x:c r="G33" s="20" t="n">
        <x:f>IF(I33="Confirm inventory","",MAX(D33-F33,0))</x:f>
        <x:v>13</x:v>
      </x:c>
      <x:c r="H33" s="19" t="str">
        <x:v>Critical</x:v>
      </x:c>
      <x:c r="I33" s="19" t="str">
        <x:v>Buy</x:v>
      </x:c>
      <x:c r="J33" s="19" t="str">
        <x:v>One replenishable structure kit per robotics pair</x:v>
      </x:c>
      <x:c r="K33" s="21"/>
      <x:c r="L33" s="19" t="str">
        <x:v>https://www.amazon.com/s?k=STEM+building+materials+classroom+cardboard+craft+sticks+foam+board</x:v>
      </x:c>
    </x:row>
    <x:row r="34" ht="54" customHeight="1">
      <x:c r="A34" s="19" t="str">
        <x:v>Robotics - mechanisms</x:v>
      </x:c>
      <x:c r="B34" s="19" t="str">
        <x:v>Mechanism assortment</x:v>
      </x:c>
      <x:c r="C34" s="19" t="str">
        <x:v>Wheels, axles, gears, pulleys, string, rubber bands, brads, hinges, and fasteners</x:v>
      </x:c>
      <x:c r="D34" s="20" t="n">
        <x:v>13</x:v>
      </x:c>
      <x:c r="E34" s="20" t="str">
        <x:v>team kits</x:v>
      </x:c>
      <x:c r="F34" s="20" t="n">
        <x:v>0</x:v>
      </x:c>
      <x:c r="G34" s="20" t="n">
        <x:f>IF(I34="Confirm inventory","",MAX(D34-F34,0))</x:f>
        <x:v>13</x:v>
      </x:c>
      <x:c r="H34" s="19" t="str">
        <x:v>High</x:v>
      </x:c>
      <x:c r="I34" s="19" t="str">
        <x:v>Buy</x:v>
      </x:c>
      <x:c r="J34" s="19" t="str">
        <x:v>Supports movement without locking teams into one design</x:v>
      </x:c>
      <x:c r="K34" s="21"/>
      <x:c r="L34" s="19" t="str">
        <x:v>https://www.amazon.com/s?k=STEM+gears+pulleys+wheels+axles+classroom+kit</x:v>
      </x:c>
    </x:row>
    <x:row r="35" ht="54" customHeight="1">
      <x:c r="A35" s="19" t="str">
        <x:v>Robotics - tools</x:v>
      </x:c>
      <x:c r="B35" s="19" t="str">
        <x:v>Mini hot-glue guns</x:v>
      </x:c>
      <x:c r="C35" s="19" t="str">
        <x:v>Compatible with the ordered mini glue sticks</x:v>
      </x:c>
      <x:c r="D35" s="20" t="n">
        <x:v>13</x:v>
      </x:c>
      <x:c r="E35" s="20" t="str">
        <x:v>glue guns</x:v>
      </x:c>
      <x:c r="F35" s="20" t="n">
        <x:v>0</x:v>
      </x:c>
      <x:c r="G35" s="20" t="str">
        <x:f>IF(I35="Confirm inventory","",MAX(D35-F35,0))</x:f>
      </x:c>
      <x:c r="H35" s="19" t="str">
        <x:v>Critical</x:v>
      </x:c>
      <x:c r="I35" s="19" t="str">
        <x:v>Confirm inventory</x:v>
      </x:c>
      <x:c r="J35" s="19" t="str">
        <x:v>One per team or a carefully managed shared glue station</x:v>
      </x:c>
      <x:c r="K35" s="21"/>
      <x:c r="L35" s="19" t="str">
        <x:v>https://www.amazon.com/s?k=mini+hot+glue+guns+bulk+classroom</x:v>
      </x:c>
    </x:row>
    <x:row r="36" ht="54" customHeight="1">
      <x:c r="A36" s="19" t="str">
        <x:v>Robotics - tools</x:v>
      </x:c>
      <x:c r="B36" s="19" t="str">
        <x:v>Cutting and measuring sets</x:v>
      </x:c>
      <x:c r="C36" s="19" t="str">
        <x:v>Scissors, rulers, cutting mats; craft knives for adults only</x:v>
      </x:c>
      <x:c r="D36" s="20" t="n">
        <x:v>13</x:v>
      </x:c>
      <x:c r="E36" s="20" t="str">
        <x:v>team sets</x:v>
      </x:c>
      <x:c r="F36" s="20" t="n">
        <x:v>0</x:v>
      </x:c>
      <x:c r="G36" s="20" t="str">
        <x:f>IF(I36="Confirm inventory","",MAX(D36-F36,0))</x:f>
      </x:c>
      <x:c r="H36" s="19" t="str">
        <x:v>High</x:v>
      </x:c>
      <x:c r="I36" s="19" t="str">
        <x:v>Confirm inventory</x:v>
      </x:c>
      <x:c r="J36" s="19" t="str">
        <x:v>Basic safe fabrication tools</x:v>
      </x:c>
      <x:c r="K36" s="21"/>
      <x:c r="L36" s="19" t="str">
        <x:v>https://www.amazon.com/s?k=classroom+scissors+rulers+cutting+mats+bulk</x:v>
      </x:c>
    </x:row>
    <x:row r="37" ht="54" customHeight="1">
      <x:c r="A37" s="19" t="str">
        <x:v>Robotics - assembly</x:v>
      </x:c>
      <x:c r="B37" s="19" t="str">
        <x:v>General fastening supplies</x:v>
      </x:c>
      <x:c r="C37" s="19" t="str">
        <x:v>Masking tape, painter's tape, clear tape, duct tape, zip ties</x:v>
      </x:c>
      <x:c r="D37" s="20" t="n">
        <x:v>1</x:v>
      </x:c>
      <x:c r="E37" s="20" t="str">
        <x:v>classroom assortment</x:v>
      </x:c>
      <x:c r="F37" s="20" t="n">
        <x:v>0</x:v>
      </x:c>
      <x:c r="G37" s="20" t="str">
        <x:f>IF(I37="Confirm inventory","",MAX(D37-F37,0))</x:f>
      </x:c>
      <x:c r="H37" s="19" t="str">
        <x:v>High</x:v>
      </x:c>
      <x:c r="I37" s="19" t="str">
        <x:v>Confirm inventory</x:v>
      </x:c>
      <x:c r="J37" s="19" t="str">
        <x:v>Temporary prototyping and cable management</x:v>
      </x:c>
      <x:c r="K37" s="21"/>
      <x:c r="L37" s="19" t="str">
        <x:v>https://www.amazon.com/s?k=classroom+tape+assortment+zip+ties</x:v>
      </x:c>
    </x:row>
    <x:row r="38" ht="54" customHeight="1">
      <x:c r="A38" s="19" t="str">
        <x:v>Program storage</x:v>
      </x:c>
      <x:c r="B38" s="19" t="str">
        <x:v>Project storage containers</x:v>
      </x:c>
      <x:c r="C38" s="19" t="str">
        <x:v>Large labeled bins or durable zipper bags</x:v>
      </x:c>
      <x:c r="D38" s="20" t="n">
        <x:v>45</x:v>
      </x:c>
      <x:c r="E38" s="20" t="str">
        <x:v>containers</x:v>
      </x:c>
      <x:c r="F38" s="20" t="n">
        <x:v>0</x:v>
      </x:c>
      <x:c r="G38" s="20" t="n">
        <x:f>IF(I38="Confirm inventory","",MAX(D38-F38,0))</x:f>
        <x:v>45</x:v>
      </x:c>
      <x:c r="H38" s="19" t="str">
        <x:v>Critical</x:v>
      </x:c>
      <x:c r="I38" s="19" t="str">
        <x:v>Buy</x:v>
      </x:c>
      <x:c r="J38" s="19" t="str">
        <x:v>One per wearable student and one per robotics team, plus spares</x:v>
      </x:c>
      <x:c r="K38" s="21"/>
      <x:c r="L38" s="19" t="str">
        <x:v>https://www.amazon.com/s?k=clear+project+storage+bins+classroom+bulk</x:v>
      </x:c>
    </x:row>
    <x:row r="39" ht="54" customHeight="1">
      <x:c r="A39" s="19" t="str">
        <x:v>Program storage</x:v>
      </x:c>
      <x:c r="B39" s="19" t="str">
        <x:v>Small component organizers</x:v>
      </x:c>
      <x:c r="C39" s="19" t="str">
        <x:v>Divided trays or latching organizers</x:v>
      </x:c>
      <x:c r="D39" s="20" t="n">
        <x:v>15</x:v>
      </x:c>
      <x:c r="E39" s="20" t="str">
        <x:v>organizers</x:v>
      </x:c>
      <x:c r="F39" s="20" t="n">
        <x:v>0</x:v>
      </x:c>
      <x:c r="G39" s="20" t="n">
        <x:f>IF(I39="Confirm inventory","",MAX(D39-F39,0))</x:f>
        <x:v>15</x:v>
      </x:c>
      <x:c r="H39" s="19" t="str">
        <x:v>High</x:v>
      </x:c>
      <x:c r="I39" s="19" t="str">
        <x:v>Buy</x:v>
      </x:c>
      <x:c r="J39" s="19" t="str">
        <x:v>Station supplies and small electronics</x:v>
      </x:c>
      <x:c r="K39" s="21"/>
      <x:c r="L39" s="19" t="str">
        <x:v>https://www.amazon.com/s?k=small+parts+organizer+divided+classroom</x:v>
      </x:c>
    </x:row>
    <x:row r="40" ht="54" customHeight="1">
      <x:c r="A40" s="19" t="str">
        <x:v>Safety</x:v>
      </x:c>
      <x:c r="B40" s="19" t="str">
        <x:v>Safety glasses</x:v>
      </x:c>
      <x:c r="C40" s="19" t="str">
        <x:v>ANSI-rated, youth/adult mixed fit</x:v>
      </x:c>
      <x:c r="D40" s="20" t="n">
        <x:v>30</x:v>
      </x:c>
      <x:c r="E40" s="20" t="str">
        <x:v>pairs</x:v>
      </x:c>
      <x:c r="F40" s="20" t="n">
        <x:v>0</x:v>
      </x:c>
      <x:c r="G40" s="20" t="str">
        <x:f>IF(I40="Confirm inventory","",MAX(D40-F40,0))</x:f>
      </x:c>
      <x:c r="H40" s="19" t="str">
        <x:v>High</x:v>
      </x:c>
      <x:c r="I40" s="19" t="str">
        <x:v>Confirm inventory</x:v>
      </x:c>
      <x:c r="J40" s="19" t="str">
        <x:v>Shared fabrication and mentor preparation stations</x:v>
      </x:c>
      <x:c r="K40" s="21"/>
      <x:c r="L40" s="19" t="str">
        <x:v>https://www.amazon.com/s?k=ANSI+safety+glasses+classroom+bulk+youth</x:v>
      </x:c>
    </x:row>
    <x:row r="41" ht="54" customHeight="1">
      <x:c r="A41" s="19" t="str">
        <x:v>Safety</x:v>
      </x:c>
      <x:c r="B41" s="19" t="str">
        <x:v>Battery storage cases</x:v>
      </x:c>
      <x:c r="C41" s="19" t="str">
        <x:v>Cases sized for AA, AAA, and coin cells</x:v>
      </x:c>
      <x:c r="D41" s="20" t="n">
        <x:v>6</x:v>
      </x:c>
      <x:c r="E41" s="20" t="str">
        <x:v>cases</x:v>
      </x:c>
      <x:c r="F41" s="20" t="n">
        <x:v>0</x:v>
      </x:c>
      <x:c r="G41" s="20" t="n">
        <x:f>IF(I41="Confirm inventory","",MAX(D41-F41,0))</x:f>
        <x:v>6</x:v>
      </x:c>
      <x:c r="H41" s="19" t="str">
        <x:v>High</x:v>
      </x:c>
      <x:c r="I41" s="19" t="str">
        <x:v>Buy</x:v>
      </x:c>
      <x:c r="J41" s="19" t="str">
        <x:v>Separates fresh, used, and inspect batteries</x:v>
      </x:c>
      <x:c r="K41" s="21"/>
      <x:c r="L41" s="19" t="str">
        <x:v>https://www.amazon.com/s?k=battery+storage+case+AA+AAA+CR2032</x:v>
      </x:c>
    </x:row>
    <x:row r="42" ht="54" customHeight="1">
      <x:c r="A42" s="19" t="str">
        <x:v>Safety</x:v>
      </x:c>
      <x:c r="B42" s="19" t="str">
        <x:v>Heat-resistant work mats</x:v>
      </x:c>
      <x:c r="C42" s="19" t="str">
        <x:v>Silicone soldering/repair mats</x:v>
      </x:c>
      <x:c r="D42" s="20" t="n">
        <x:v>4</x:v>
      </x:c>
      <x:c r="E42" s="20" t="str">
        <x:v>mats</x:v>
      </x:c>
      <x:c r="F42" s="20" t="n">
        <x:v>0</x:v>
      </x:c>
      <x:c r="G42" s="20" t="str">
        <x:f>IF(I42="Confirm inventory","",MAX(D42-F42,0))</x:f>
      </x:c>
      <x:c r="H42" s="19" t="str">
        <x:v>High</x:v>
      </x:c>
      <x:c r="I42" s="19" t="str">
        <x:v>Confirm inventory</x:v>
      </x:c>
      <x:c r="J42" s="19" t="str">
        <x:v>Mentor harness preparation and repair</x:v>
      </x:c>
      <x:c r="K42" s="21"/>
      <x:c r="L42" s="19" t="str">
        <x:v>https://www.amazon.com/s?k=silicone+soldering+mat+heat+resistant</x:v>
      </x:c>
    </x:row>
    <x:row r="43" ht="54" customHeight="1">
      <x:c r="A43" s="19" t="str">
        <x:v>Classroom operations</x:v>
      </x:c>
      <x:c r="B43" s="19" t="str">
        <x:v>Power strips and extension cords</x:v>
      </x:c>
      <x:c r="C43" s="19" t="str">
        <x:v>Surge-protected power strips and grounded cords</x:v>
      </x:c>
      <x:c r="D43" s="20" t="n">
        <x:v>8</x:v>
      </x:c>
      <x:c r="E43" s="20" t="str">
        <x:v>sets</x:v>
      </x:c>
      <x:c r="F43" s="20" t="n">
        <x:v>0</x:v>
      </x:c>
      <x:c r="G43" s="20" t="str">
        <x:f>IF(I43="Confirm inventory","",MAX(D43-F43,0))</x:f>
      </x:c>
      <x:c r="H43" s="19" t="str">
        <x:v>High</x:v>
      </x:c>
      <x:c r="I43" s="19" t="str">
        <x:v>Confirm inventory</x:v>
      </x:c>
      <x:c r="J43" s="19" t="str">
        <x:v>Charging and powered robotics stations; quantity depends on room layout</x:v>
      </x:c>
      <x:c r="K43" s="21"/>
      <x:c r="L43" s="19" t="str">
        <x:v>https://www.amazon.com/s?k=surge+protector+power+strip+classroom+extension+cord</x:v>
      </x:c>
    </x:row>
    <x:row r="44" ht="54" customHeight="1">
      <x:c r="A44" s="19" t="str">
        <x:v>Classroom operations</x:v>
      </x:c>
      <x:c r="B44" s="19" t="str">
        <x:v>Replacement USB cables</x:v>
      </x:c>
      <x:c r="C44" s="19" t="str">
        <x:v>Match micro:bit and Hummingbird/student-device connections</x:v>
      </x:c>
      <x:c r="D44" s="20" t="n">
        <x:v>15</x:v>
      </x:c>
      <x:c r="E44" s="20" t="str">
        <x:v>cables</x:v>
      </x:c>
      <x:c r="F44" s="20" t="n">
        <x:v>0</x:v>
      </x:c>
      <x:c r="G44" s="20" t="str">
        <x:f>IF(I44="Confirm inventory","",MAX(D44-F44,0))</x:f>
      </x:c>
      <x:c r="H44" s="19" t="str">
        <x:v>High</x:v>
      </x:c>
      <x:c r="I44" s="19" t="str">
        <x:v>Confirm inventory</x:v>
      </x:c>
      <x:c r="J44" s="19" t="str">
        <x:v>Known-good diagnostic replacements</x:v>
      </x:c>
      <x:c r="K44" s="21"/>
      <x:c r="L44" s="19" t="str">
        <x:v>https://www.amazon.com/s?k=micro+bit+USB+cable+data+bulk</x:v>
      </x:c>
    </x:row>
    <x:row r="45" ht="54" customHeight="1">
      <x:c r="A45" s="19" t="str">
        <x:v>Classroom operations</x:v>
      </x:c>
      <x:c r="B45" s="19" t="str">
        <x:v>Labels and resealable bags</x:v>
      </x:c>
      <x:c r="C45" s="19" t="str">
        <x:v>Writable labels plus assorted durable zipper bags</x:v>
      </x:c>
      <x:c r="D45" s="20" t="n">
        <x:v>1</x:v>
      </x:c>
      <x:c r="E45" s="20" t="str">
        <x:v>classroom assortment</x:v>
      </x:c>
      <x:c r="F45" s="20" t="n">
        <x:v>0</x:v>
      </x:c>
      <x:c r="G45" s="20" t="n">
        <x:f>IF(I45="Confirm inventory","",MAX(D45-F45,0))</x:f>
        <x:v>1</x:v>
      </x:c>
      <x:c r="H45" s="19" t="str">
        <x:v>High</x:v>
      </x:c>
      <x:c r="I45" s="19" t="str">
        <x:v>Buy</x:v>
      </x:c>
      <x:c r="J45" s="19" t="str">
        <x:v>Kit numbering, student storage, and component control</x:v>
      </x:c>
      <x:c r="K45" s="21"/>
      <x:c r="L45" s="19" t="str">
        <x:v>https://www.amazon.com/s?k=classroom+labels+resealable+bags+assorted+sizes</x:v>
      </x:c>
    </x:row>
    <x:row r="46" ht="54" customHeight="1">
      <x:c r="A46" s="22" t="str">
        <x:v>Cleanup</x:v>
      </x:c>
      <x:c r="B46" s="22" t="str">
        <x:v>Paper towels, wipes, gloves, trash bags</x:v>
      </x:c>
      <x:c r="C46" s="22" t="str">
        <x:v>Painting/electronics cleanup assortment</x:v>
      </x:c>
      <x:c r="D46" s="23" t="n">
        <x:v>1</x:v>
      </x:c>
      <x:c r="E46" s="23" t="str">
        <x:v>classroom assortment</x:v>
      </x:c>
      <x:c r="F46" s="23" t="n">
        <x:v>0</x:v>
      </x:c>
      <x:c r="G46" s="23" t="str">
        <x:f>IF(I46="Confirm inventory","",MAX(D46-F46,0))</x:f>
      </x:c>
      <x:c r="H46" s="22" t="str">
        <x:v>High</x:v>
      </x:c>
      <x:c r="I46" s="22" t="str">
        <x:v>Confirm inventory</x:v>
      </x:c>
      <x:c r="J46" s="22" t="str">
        <x:v>Workday cleanup and paint handling</x:v>
      </x:c>
      <x:c r="K46" s="24"/>
      <x:c r="L46" s="22" t="str">
        <x:v>https://www.amazon.com/s?k=classroom+cleaning+supplies+nitrile+gloves+paper+towels</x:v>
      </x:c>
    </x:row>
  </x:sheetData>
  <x:mergeCells>
    <x:mergeCell ref="A1:L1"/>
    <x:mergeCell ref="A2:L2"/>
  </x:mergeCells>
  <x:conditionalFormatting sqref="H12:H46">
    <x:cfRule type="containsText" dxfId="0" priority="1" operator="containsText" text="Critical"/>
    <x:cfRule type="containsText" dxfId="1" priority="2" operator="containsText" text="High"/>
  </x:conditionalFormatting>
  <x:conditionalFormatting sqref="I12:I46">
    <x:cfRule type="containsText" dxfId="2" priority="3" operator="containsText" text="Buy"/>
    <x:cfRule type="containsText" dxfId="3" priority="4" operator="containsText" text="Confirm"/>
    <x:cfRule type="containsText" dxfId="4" priority="5" operator="containsText" text="Verify"/>
  </x:conditionalFormatting>
  <x:dataValidations count="2">
    <x:dataValidation type="list" sqref="H12:H46">
      <x:formula1>"Critical,High,Medium"</x:formula1>
    </x:dataValidation>
    <x:dataValidation type="list" sqref="I12:I46">
      <x:formula1>"Buy,Buy if 22-24 students,Confirm inventory,Verify order,Ordered,Not needed"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34" hidden="0" customWidth="1"/>
    <x:col min="4" max="4" width="33" hidden="0" customWidth="1"/>
    <x:col min="5" max="5" width="28" hidden="0" customWidth="1"/>
    <x:col min="6" max="6" width="40" hidden="0" customWidth="1"/>
    <x:col min="7" max="7" width="26" hidden="0" customWidth="1"/>
  </x:cols>
  <x:sheetData>
    <x:row r="1">
      <x:c r="A1" s="6" t="str">
        <x:v>Existing 2026-27 Order - Coverage Review</x:v>
      </x:c>
      <x:c r="B1" s="6"/>
      <x:c r="C1" s="6"/>
      <x:c r="D1" s="6"/>
      <x:c r="E1" s="6"/>
      <x:c r="F1" s="6"/>
      <x:c r="G1" s="6"/>
    </x:row>
    <x:row r="2">
      <x:c r="A2" s="10" t="str">
        <x:v>These quantities were interpreted from the supplied PDF. Verify delivered pack sizes and working counts before placing supplemental orders.</x:v>
      </x:c>
      <x:c r="B2" s="10"/>
      <x:c r="C2" s="10"/>
      <x:c r="D2" s="10"/>
      <x:c r="E2" s="10"/>
      <x:c r="F2" s="10"/>
      <x:c r="G2" s="10"/>
    </x:row>
    <x:row r="4">
      <x:c r="A4" s="14" t="str">
        <x:v>Item</x:v>
      </x:c>
      <x:c r="B4" s="14" t="str">
        <x:v>Listed Qty</x:v>
      </x:c>
      <x:c r="C4" s="14" t="str">
        <x:v>Interpreted Coverage</x:v>
      </x:c>
      <x:c r="D4" s="14" t="str">
        <x:v>Program Need</x:v>
      </x:c>
      <x:c r="E4" s="14" t="str">
        <x:v>Assessment</x:v>
      </x:c>
      <x:c r="F4" s="14" t="str">
        <x:v>Next Check</x:v>
      </x:c>
      <x:c r="G4" s="14" t="str">
        <x:v>Source</x:v>
      </x:c>
    </x:row>
    <x:row r="5" ht="48" customHeight="1">
      <x:c r="A5" s="16" t="str">
        <x:v>Hummingbird kits</x:v>
      </x:c>
      <x:c r="B5" s="16" t="n">
        <x:v>10</x:v>
      </x:c>
      <x:c r="C5" s="16" t="str">
        <x:v>10 teams / 20 students</x:v>
      </x:c>
      <x:c r="D5" s="16" t="str">
        <x:v>Up to 12 teams plus a spare</x:v>
      </x:c>
      <x:c r="E5" s="16" t="str">
        <x:v>Short by up to 3 kits</x:v>
      </x:c>
      <x:c r="F5" s="16" t="str">
        <x:v>Set final robotics enrollment to an even number</x:v>
      </x:c>
      <x:c r="G5" s="16" t="str">
        <x:v>2026-27 materials PDF</x:v>
      </x:c>
    </x:row>
    <x:row r="6" ht="48" customHeight="1">
      <x:c r="A6" s="19" t="str">
        <x:v>Conductive thread</x:v>
      </x:c>
      <x:c r="B6" s="19" t="n">
        <x:v>25</x:v>
      </x:c>
      <x:c r="C6" s="19" t="str">
        <x:v>Pack/spool count unclear</x:v>
      </x:c>
      <x:c r="D6" s="19" t="str">
        <x:v>30 individual shirts plus practice</x:v>
      </x:c>
      <x:c r="E6" s="19" t="str">
        <x:v>Quantity uncertain</x:v>
      </x:c>
      <x:c r="F6" s="19" t="str">
        <x:v>Confirm length and whether students share</x:v>
      </x:c>
      <x:c r="G6" s="19" t="str">
        <x:v>2026-27 materials PDF</x:v>
      </x:c>
    </x:row>
    <x:row r="7" ht="48" customHeight="1">
      <x:c r="A7" s="19" t="str">
        <x:v>Coin-cell holders</x:v>
      </x:c>
      <x:c r="B7" s="19" t="n">
        <x:v>2</x:v>
      </x:c>
      <x:c r="C7" s="19" t="str">
        <x:v>Likely two 20-piece packs = 40</x:v>
      </x:c>
      <x:c r="D7" s="19" t="str">
        <x:v>30 shirts plus spares</x:v>
      </x:c>
      <x:c r="E7" s="19" t="str">
        <x:v>Likely adequate</x:v>
      </x:c>
      <x:c r="F7" s="19" t="str">
        <x:v>Confirm both packs contain 20</x:v>
      </x:c>
      <x:c r="G7" s="19" t="str">
        <x:v>2026-27 materials PDF</x:v>
      </x:c>
    </x:row>
    <x:row r="8" ht="48" customHeight="1">
      <x:c r="A8" s="19" t="str">
        <x:v>Coin-cell batteries</x:v>
      </x:c>
      <x:c r="B8" s="19" t="n">
        <x:v>1</x:v>
      </x:c>
      <x:c r="C8" s="19" t="str">
        <x:v>Product appears to be bulk pack</x:v>
      </x:c>
      <x:c r="D8" s="19" t="str">
        <x:v>30 shirts plus replacements</x:v>
      </x:c>
      <x:c r="E8" s="19" t="str">
        <x:v>Likely adequate</x:v>
      </x:c>
      <x:c r="F8" s="19" t="str">
        <x:v>Confirm actual pack count and expiration</x:v>
      </x:c>
      <x:c r="G8" s="19" t="str">
        <x:v>2026-27 materials PDF</x:v>
      </x:c>
    </x:row>
    <x:row r="9" ht="48" customHeight="1">
      <x:c r="A9" s="19" t="str">
        <x:v>White bucket hats</x:v>
      </x:c>
      <x:c r="B9" s="19" t="n">
        <x:v>3</x:v>
      </x:c>
      <x:c r="C9" s="19" t="str">
        <x:v>Package size unclear</x:v>
      </x:c>
      <x:c r="D9" s="19" t="str">
        <x:v>30 plus 2-3 spares</x:v>
      </x:c>
      <x:c r="E9" s="19" t="str">
        <x:v>Must confirm</x:v>
      </x:c>
      <x:c r="F9" s="19" t="str">
        <x:v>Count actual hats, not packages</x:v>
      </x:c>
      <x:c r="G9" s="19" t="str">
        <x:v>2026-27 materials PDF</x:v>
      </x:c>
    </x:row>
    <x:row r="10" ht="48" customHeight="1">
      <x:c r="A10" s="19" t="str">
        <x:v>NeoPixel strip</x:v>
      </x:c>
      <x:c r="B10" s="19" t="n">
        <x:v>4</x:v>
      </x:c>
      <x:c r="C10" s="19" t="str">
        <x:v>About 600 pixels total if 5 m x 30 LEDs/m</x:v>
      </x:c>
      <x:c r="D10" s="19" t="str">
        <x:v>450 pixels for 30 hats at 15 each</x:v>
      </x:c>
      <x:c r="E10" s="19" t="str">
        <x:v>Adequate with about 150 spare</x:v>
      </x:c>
      <x:c r="F10" s="19" t="str">
        <x:v>Test every roll before cutting</x:v>
      </x:c>
      <x:c r="G10" s="19" t="str">
        <x:v>2026-27 materials PDF</x:v>
      </x:c>
    </x:row>
    <x:row r="11" ht="48" customHeight="1">
      <x:c r="A11" s="19" t="str">
        <x:v>micro:bit club kits</x:v>
      </x:c>
      <x:c r="B11" s="19" t="n">
        <x:v>4</x:v>
      </x:c>
      <x:c r="C11" s="19" t="str">
        <x:v>40 micro:bits plus listed batteries/cables</x:v>
      </x:c>
      <x:c r="D11" s="19" t="str">
        <x:v>30 hats plus diagnostic spares</x:v>
      </x:c>
      <x:c r="E11" s="19" t="str">
        <x:v>Adequate if all work</x:v>
      </x:c>
      <x:c r="F11" s="19" t="str">
        <x:v>Function-test devices, holders, and cables</x:v>
      </x:c>
      <x:c r="G11" s="19" t="str">
        <x:v>2026-27 materials PDF</x:v>
      </x:c>
    </x:row>
    <x:row r="12" ht="48" customHeight="1">
      <x:c r="A12" s="19" t="str">
        <x:v>3xAAA switched holders</x:v>
      </x:c>
      <x:c r="B12" s="19" t="n">
        <x:v>5</x:v>
      </x:c>
      <x:c r="C12" s="19" t="str">
        <x:v>Likely five 10-piece packs = 50</x:v>
      </x:c>
      <x:c r="D12" s="19" t="str">
        <x:v>30 hats plus spares</x:v>
      </x:c>
      <x:c r="E12" s="19" t="str">
        <x:v>Likely adequate</x:v>
      </x:c>
      <x:c r="F12" s="19" t="str">
        <x:v>Confirm switch operation and wire length</x:v>
      </x:c>
      <x:c r="G12" s="19" t="str">
        <x:v>2026-27 materials PDF</x:v>
      </x:c>
    </x:row>
    <x:row r="13" ht="48" customHeight="1">
      <x:c r="A13" s="19" t="str">
        <x:v>AAA batteries</x:v>
      </x:c>
      <x:c r="B13" s="19" t="n">
        <x:v>100</x:v>
      </x:c>
      <x:c r="C13" s="19" t="str">
        <x:v>33 full 3-battery sets</x:v>
      </x:c>
      <x:c r="D13" s="19" t="str">
        <x:v>Testing plus two showcases</x:v>
      </x:c>
      <x:c r="E13" s="19" t="str">
        <x:v>Too little replacement capacity</x:v>
      </x:c>
      <x:c r="F13" s="19" t="str">
        <x:v>Increase toward 300 total</x:v>
      </x:c>
      <x:c r="G13" s="19" t="str">
        <x:v>2026-27 materials PDF</x:v>
      </x:c>
    </x:row>
    <x:row r="14" ht="48" customHeight="1">
      <x:c r="A14" s="19" t="str">
        <x:v>AA batteries</x:v>
      </x:c>
      <x:c r="B14" s="19" t="n">
        <x:v>100</x:v>
      </x:c>
      <x:c r="C14" s="19" t="str">
        <x:v>50 full 2-battery sets</x:v>
      </x:c>
      <x:c r="D14" s="19" t="str">
        <x:v>Testing plus replacements</x:v>
      </x:c>
      <x:c r="E14" s="19" t="str">
        <x:v>Limited replacement capacity</x:v>
      </x:c>
      <x:c r="F14" s="19" t="str">
        <x:v>Increase toward 200 total</x:v>
      </x:c>
      <x:c r="G14" s="19" t="str">
        <x:v>2026-27 materials PDF</x:v>
      </x:c>
    </x:row>
    <x:row r="15" ht="48" customHeight="1">
      <x:c r="A15" s="19" t="str">
        <x:v>NeoPixel data resistors</x:v>
      </x:c>
      <x:c r="B15" s="19" t="n">
        <x:v>100</x:v>
      </x:c>
      <x:c r="C15" s="19" t="str">
        <x:v>One or more per harness</x:v>
      </x:c>
      <x:c r="D15" s="19" t="str">
        <x:v>30 hats plus spares</x:v>
      </x:c>
      <x:c r="E15" s="19" t="str">
        <x:v>Adequate</x:v>
      </x:c>
      <x:c r="F15" s="19" t="str">
        <x:v>Confirm 330-ohm value and test harness</x:v>
      </x:c>
      <x:c r="G15" s="19" t="str">
        <x:v>2026-27 materials PDF</x:v>
      </x:c>
    </x:row>
    <x:row r="16" ht="48" customHeight="1">
      <x:c r="A16" s="19" t="str">
        <x:v>NeoPixel capacitors</x:v>
      </x:c>
      <x:c r="B16" s="19" t="n">
        <x:v>2</x:v>
      </x:c>
      <x:c r="C16" s="19" t="str">
        <x:v>Package count unclear</x:v>
      </x:c>
      <x:c r="D16" s="19" t="str">
        <x:v>At least one per hat harness</x:v>
      </x:c>
      <x:c r="E16" s="19" t="str">
        <x:v>Must confirm</x:v>
      </x:c>
      <x:c r="F16" s="19" t="str">
        <x:v>Ensure at least 36 usable capacitors</x:v>
      </x:c>
      <x:c r="G16" s="19" t="str">
        <x:v>2026-27 materials PDF</x:v>
      </x:c>
    </x:row>
    <x:row r="17" ht="48" customHeight="1">
      <x:c r="A17" s="19" t="str">
        <x:v>Hook-and-loop tape</x:v>
      </x:c>
      <x:c r="B17" s="19" t="n">
        <x:v>2</x:v>
      </x:c>
      <x:c r="C17" s="19" t="str">
        <x:v>Two black 75-ft rolls</x:v>
      </x:c>
      <x:c r="D17" s="19" t="str">
        <x:v>Hat mounting and closures</x:v>
      </x:c>
      <x:c r="E17" s="19" t="str">
        <x:v>Enough length; color concern</x:v>
      </x:c>
      <x:c r="F17" s="19" t="str">
        <x:v>Add white if visible on hats</x:v>
      </x:c>
      <x:c r="G17" s="19" t="str">
        <x:v>2026-27 materials PDF</x:v>
      </x:c>
    </x:row>
    <x:row r="18" ht="48" customHeight="1">
      <x:c r="A18" s="22" t="str">
        <x:v>Puff paint</x:v>
      </x:c>
      <x:c r="B18" s="22" t="n">
        <x:v>12</x:v>
      </x:c>
      <x:c r="C18" s="22" t="str">
        <x:v>Twelve 10-color sets</x:v>
      </x:c>
      <x:c r="D18" s="22" t="str">
        <x:v>Decoration for 30 shirts/hats</x:v>
      </x:c>
      <x:c r="E18" s="22" t="str">
        <x:v>Likely adequate as accent paint</x:v>
      </x:c>
      <x:c r="F18" s="22" t="str">
        <x:v>Confirm opaque denim paint for base artwork</x:v>
      </x:c>
      <x:c r="G18" s="22" t="str">
        <x:v>2026-27 materials PDF</x:v>
      </x:c>
    </x:row>
  </x:sheetData>
  <x:mergeCells>
    <x:mergeCell ref="A1:G1"/>
    <x:mergeCell ref="A2:G2"/>
  </x:mergeCells>
  <x:conditionalFormatting sqref="E5:E18">
    <x:cfRule type="containsText" dxfId="5" priority="1" operator="containsText" text="Short"/>
    <x:cfRule type="containsText" dxfId="6" priority="2" operator="containsText" text="confirm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7" hidden="0" customWidth="1"/>
    <x:col min="3" max="3" width="48" hidden="0" customWidth="1"/>
    <x:col min="4" max="4" width="48" hidden="0" customWidth="1"/>
  </x:cols>
  <x:sheetData>
    <x:row r="1">
      <x:c r="A1" s="6" t="str">
        <x:v>Planning Assumptions and Ordering Notes</x:v>
      </x:c>
      <x:c r="B1" s="6"/>
      <x:c r="C1" s="6"/>
      <x:c r="D1" s="6"/>
    </x:row>
    <x:row r="3">
      <x:c r="A3" s="14" t="str">
        <x:v>Topic</x:v>
      </x:c>
      <x:c r="B3" s="14" t="str">
        <x:v>Planning value</x:v>
      </x:c>
      <x:c r="C3" s="14" t="str">
        <x:v>Why it matters</x:v>
      </x:c>
      <x:c r="D3" s="14" t="str">
        <x:v>Action before ordering</x:v>
      </x:c>
    </x:row>
    <x:row r="4" ht="50" customHeight="1">
      <x:c r="A4" s="16" t="str">
        <x:v>Program cap</x:v>
      </x:c>
      <x:c r="B4" s="16" t="str">
        <x:v>50 total members</x:v>
      </x:c>
      <x:c r="C4" s="16" t="str">
        <x:v>Final pathway split is not yet fixed</x:v>
      </x:c>
      <x:c r="D4" s="16" t="str">
        <x:v>Update quantities if fewer than 30 students select Wearables</x:v>
      </x:c>
    </x:row>
    <x:row r="5" ht="50" customHeight="1">
      <x:c r="A5" s="19" t="str">
        <x:v>Wearable planning basis</x:v>
      </x:c>
      <x:c r="B5" s="19" t="str">
        <x:v>30 individual students</x:v>
      </x:c>
      <x:c r="C5" s="19" t="str">
        <x:v>Each student builds one shirt and one hat</x:v>
      </x:c>
      <x:c r="D5" s="19" t="str">
        <x:v>Collect hat/shirt sizes and confirm actual enrollment</x:v>
      </x:c>
    </x:row>
    <x:row r="6" ht="50" customHeight="1">
      <x:c r="A6" s="19" t="str">
        <x:v>Robotics planning basis</x:v>
      </x:c>
      <x:c r="B6" s="19" t="str">
        <x:v>24 students / 12 teams</x:v>
      </x:c>
      <x:c r="C6" s="19" t="str">
        <x:v>Teams must contain exactly two students</x:v>
      </x:c>
      <x:c r="D6" s="19" t="str">
        <x:v>Keep robotics enrollment even</x:v>
      </x:c>
    </x:row>
    <x:row r="7" ht="50" customHeight="1">
      <x:c r="A7" s="19" t="str">
        <x:v>Robotics spare</x:v>
      </x:c>
      <x:c r="B7" s="19" t="str">
        <x:v>1 Hummingbird kit</x:v>
      </x:c>
      <x:c r="C7" s="19" t="str">
        <x:v>A known-good spare reduces downtime</x:v>
      </x:c>
      <x:c r="D7" s="19" t="str">
        <x:v>Purchase only after counting working kits</x:v>
      </x:c>
    </x:row>
    <x:row r="8" ht="50" customHeight="1">
      <x:c r="A8" s="19" t="str">
        <x:v>Sewable LED allowance</x:v>
      </x:c>
      <x:c r="B8" s="19" t="str">
        <x:v>8 per shirt + 25% reserve</x:v>
      </x:c>
      <x:c r="C8" s="19" t="str">
        <x:v>Covers maximum design, practice, and component failures</x:v>
      </x:c>
      <x:c r="D8" s="19" t="str">
        <x:v>Standardize approved LED type before purchase</x:v>
      </x:c>
    </x:row>
    <x:row r="9" ht="50" customHeight="1">
      <x:c r="A9" s="19" t="str">
        <x:v>Battery allowance</x:v>
      </x:c>
      <x:c r="B9" s="19" t="str">
        <x:v>Testing plus showcase replacements</x:v>
      </x:c>
      <x:c r="C9" s="19" t="str">
        <x:v>AAA batteries are consumed quickly by NeoPixels</x:v>
      </x:c>
      <x:c r="D9" s="19" t="str">
        <x:v>Store fresh/used batteries separately</x:v>
      </x:c>
    </x:row>
    <x:row r="10" ht="50" customHeight="1">
      <x:c r="A10" s="19" t="str">
        <x:v>Amazon links</x:v>
      </x:c>
      <x:c r="B10" s="19" t="str">
        <x:v>Search links unless a supplier is fixed</x:v>
      </x:c>
      <x:c r="C10" s="19" t="str">
        <x:v>Price, pack size, and seller availability change</x:v>
      </x:c>
      <x:c r="D10" s="19" t="str">
        <x:v>Verify district vendor rules, ratings, dimensions, and pack counts</x:v>
      </x:c>
    </x:row>
    <x:row r="11" ht="50" customHeight="1">
      <x:c r="A11" s="19" t="str">
        <x:v>Legacy supplies</x:v>
      </x:c>
      <x:c r="B11" s="19" t="str">
        <x:v>2025-26 received list</x:v>
      </x:c>
      <x:c r="C11" s="19" t="str">
        <x:v>Received last year does not prove current usable inventory</x:v>
      </x:c>
      <x:c r="D11" s="19" t="str">
        <x:v>Physically count and function-test before relying on it</x:v>
      </x:c>
    </x:row>
    <x:row r="12" ht="50" customHeight="1">
      <x:c r="A12" s="22" t="str">
        <x:v>Denim shirts</x:v>
      </x:c>
      <x:c r="B12" s="22" t="str">
        <x:v>Excluded from this workbook</x:v>
      </x:c>
      <x:c r="C12" s="22" t="str">
        <x:v>User requested other needed materials</x:v>
      </x:c>
      <x:c r="D12" s="22" t="str">
        <x:v>Order separately after size collection</x:v>
      </x:c>
    </x:row>
  </x:sheetData>
  <x:mergeCells>
    <x:mergeCell ref="A1:D1"/>
  </x:mergeCells>
  <x:pageMargins left="0.7" right="0.7" top="0.75" bottom="0.75" header="0.3" footer="0.3"/>
</x:worksheet>
</file>